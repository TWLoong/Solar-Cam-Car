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5" i="1" l="1"/>
  <c r="C16" i="1"/>
  <c r="C14" i="1"/>
  <c r="D12" i="1"/>
  <c r="D13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<sst xmlns="http://schemas.openxmlformats.org/spreadsheetml/2006/main" count="33" uniqueCount="33">
  <si>
    <t>模数</t>
    <phoneticPr fontId="1" type="noConversion"/>
  </si>
  <si>
    <t>m</t>
    <phoneticPr fontId="1" type="noConversion"/>
  </si>
  <si>
    <t>齿数</t>
    <phoneticPr fontId="1" type="noConversion"/>
  </si>
  <si>
    <t>压力角</t>
    <phoneticPr fontId="1" type="noConversion"/>
  </si>
  <si>
    <t>齿顶高系数</t>
    <phoneticPr fontId="1" type="noConversion"/>
  </si>
  <si>
    <t>顶隙系数</t>
    <phoneticPr fontId="1" type="noConversion"/>
  </si>
  <si>
    <t>分度圆直径</t>
    <phoneticPr fontId="1" type="noConversion"/>
  </si>
  <si>
    <t>齿顶圆直径</t>
    <phoneticPr fontId="1" type="noConversion"/>
  </si>
  <si>
    <t>基圆直径</t>
    <phoneticPr fontId="1" type="noConversion"/>
  </si>
  <si>
    <t>齿根圆直径</t>
    <phoneticPr fontId="1" type="noConversion"/>
  </si>
  <si>
    <t>基圆半径</t>
    <phoneticPr fontId="1" type="noConversion"/>
  </si>
  <si>
    <t>中心距</t>
    <phoneticPr fontId="1" type="noConversion"/>
  </si>
  <si>
    <t>镜像轴偏移角度1</t>
    <phoneticPr fontId="1" type="noConversion"/>
  </si>
  <si>
    <t>镜像轴偏移角度2</t>
    <phoneticPr fontId="1" type="noConversion"/>
  </si>
  <si>
    <t>α=pi/9</t>
    <phoneticPr fontId="1" type="noConversion"/>
  </si>
  <si>
    <t>ha*=1</t>
    <phoneticPr fontId="1" type="noConversion"/>
  </si>
  <si>
    <t>c*=0.25</t>
    <phoneticPr fontId="1" type="noConversion"/>
  </si>
  <si>
    <t>d=m*z</t>
    <phoneticPr fontId="1" type="noConversion"/>
  </si>
  <si>
    <t>ha=(z+2ha*)*m</t>
    <phoneticPr fontId="1" type="noConversion"/>
  </si>
  <si>
    <t>hf=(z-2ha*-2c*)*m</t>
    <phoneticPr fontId="1" type="noConversion"/>
  </si>
  <si>
    <t>db=d*cos(α)</t>
    <phoneticPr fontId="1" type="noConversion"/>
  </si>
  <si>
    <t>rb=db/2</t>
    <phoneticPr fontId="1" type="noConversion"/>
  </si>
  <si>
    <t>xt=rb*sin(t)-rb*t*cos(t)</t>
    <phoneticPr fontId="1" type="noConversion"/>
  </si>
  <si>
    <t>yt=rb*cos(t)+rb*t*sin(t)</t>
    <phoneticPr fontId="1" type="noConversion"/>
  </si>
  <si>
    <t>a=m*(z1+z2)/2</t>
    <phoneticPr fontId="1" type="noConversion"/>
  </si>
  <si>
    <t>360/z/4</t>
    <phoneticPr fontId="1" type="noConversion"/>
  </si>
  <si>
    <t>360/z/4*3</t>
    <phoneticPr fontId="1" type="noConversion"/>
  </si>
  <si>
    <t>pi/9</t>
    <phoneticPr fontId="1" type="noConversion"/>
  </si>
  <si>
    <t>中心距z2</t>
    <phoneticPr fontId="1" type="noConversion"/>
  </si>
  <si>
    <t>z（中心距z1）</t>
    <phoneticPr fontId="1" type="noConversion"/>
  </si>
  <si>
    <t>渐开线方程(t取0到pi/3)</t>
    <phoneticPr fontId="1" type="noConversion"/>
  </si>
  <si>
    <t>齿轮公式模板</t>
    <phoneticPr fontId="1" type="noConversion"/>
  </si>
  <si>
    <t>直接填写模数和齿数红色就可以了，其他参数直接复制然后去粘贴就可以用了，中心距需要填写另一个z的值（D2位置）密码：1230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</si>
</sst>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BF2A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6" fillId="4" borderId="1" xfId="0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ABF2A6"/>
      <color rgb="FFFFCCFF"/>
      <color rgb="FFF1A7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J14" sqref="J14"/>
    </sheetView>
  </sheetViews>
  <sheetFormatPr defaultRowHeight="13.5"/>
  <cols>
    <col min="1" max="1" width="22.5" style="1" customWidth="1"/>
    <col min="2" max="2" width="25.625" style="1" customWidth="1"/>
    <col min="3" max="3" width="50.375" style="1" customWidth="1"/>
    <col min="4" max="4" width="6.625" style="1" customWidth="1"/>
  </cols>
  <sheetData>
    <row r="1" spans="1:5">
      <c r="A1" s="32" t="s">
        <v>31</v>
      </c>
      <c r="B1" s="33"/>
      <c r="C1" s="33"/>
      <c r="D1" s="33"/>
      <c r="E1" s="33"/>
    </row>
    <row r="2" spans="1:5">
      <c r="A2" s="35" t="s">
        <v>0</v>
      </c>
      <c r="B2" s="7" t="s">
        <v>1</v>
      </c>
      <c r="C2" s="16">
        <v>4</v>
      </c>
      <c r="D2" s="5"/>
      <c r="E2" s="6"/>
    </row>
    <row r="3" spans="1:5">
      <c r="A3" s="36" t="s">
        <v>2</v>
      </c>
      <c r="B3" s="25" t="s">
        <v>29</v>
      </c>
      <c r="C3" s="17">
        <v>20</v>
      </c>
      <c r="D3" s="23">
        <v>10</v>
      </c>
      <c r="E3" s="24" t="s">
        <v>28</v>
      </c>
    </row>
    <row r="4" spans="1:5">
      <c r="A4" s="11" t="s">
        <v>3</v>
      </c>
      <c r="B4" s="12" t="s">
        <v>14</v>
      </c>
      <c r="C4" s="4" t="s">
        <v>27</v>
      </c>
      <c r="D4" s="12"/>
      <c r="E4" s="13"/>
    </row>
    <row r="5" spans="1:5">
      <c r="A5" s="14" t="s">
        <v>4</v>
      </c>
      <c r="B5" s="14" t="s">
        <v>15</v>
      </c>
      <c r="C5" s="14">
        <v>1</v>
      </c>
      <c r="D5" s="14"/>
      <c r="E5" s="15"/>
    </row>
    <row r="6" spans="1:5">
      <c r="A6" s="12" t="s">
        <v>5</v>
      </c>
      <c r="B6" s="12" t="s">
        <v>16</v>
      </c>
      <c r="C6" s="12">
        <v>0.25</v>
      </c>
      <c r="D6" s="12"/>
      <c r="E6" s="13"/>
    </row>
    <row r="7" spans="1:5">
      <c r="A7" s="19" t="s">
        <v>6</v>
      </c>
      <c r="B7" s="19" t="s">
        <v>17</v>
      </c>
      <c r="C7" s="22" t="str">
        <f>C2&amp;"*"&amp;C3</f>
        <v>4*20</v>
      </c>
      <c r="D7" s="20"/>
      <c r="E7" s="21"/>
    </row>
    <row r="8" spans="1:5">
      <c r="A8" s="18" t="s">
        <v>7</v>
      </c>
      <c r="B8" s="18" t="s">
        <v>18</v>
      </c>
      <c r="C8" s="18" t="str">
        <f>"("&amp;C3&amp;"+2)*"&amp;C2</f>
        <v>(20+2)*4</v>
      </c>
      <c r="D8" s="2"/>
      <c r="E8" s="3"/>
    </row>
    <row r="9" spans="1:5">
      <c r="A9" s="19" t="s">
        <v>9</v>
      </c>
      <c r="B9" s="19" t="s">
        <v>19</v>
      </c>
      <c r="C9" s="19" t="str">
        <f>"("&amp;C3&amp;"-2-0.5)*"&amp;C2</f>
        <v>(20-2-0.5)*4</v>
      </c>
      <c r="D9" s="20"/>
      <c r="E9" s="21"/>
    </row>
    <row r="10" spans="1:5">
      <c r="A10" s="18" t="s">
        <v>8</v>
      </c>
      <c r="B10" s="18" t="s">
        <v>20</v>
      </c>
      <c r="C10" s="18" t="str">
        <f>C2&amp;"*"&amp;C3&amp;"*cos(pi/9)"</f>
        <v>4*20*cos(pi/9)</v>
      </c>
      <c r="D10" s="2"/>
      <c r="E10" s="3"/>
    </row>
    <row r="11" spans="1:5">
      <c r="A11" s="19" t="s">
        <v>10</v>
      </c>
      <c r="B11" s="19" t="s">
        <v>21</v>
      </c>
      <c r="C11" s="19" t="str">
        <f>C2&amp;"*"&amp;C3&amp;"*cos(pi/9)/2"</f>
        <v>4*20*cos(pi/9)/2</v>
      </c>
      <c r="D11" s="20"/>
      <c r="E11" s="21"/>
    </row>
    <row r="12" spans="1:5">
      <c r="A12" s="7" t="s">
        <v>30</v>
      </c>
      <c r="B12" s="7" t="s">
        <v>22</v>
      </c>
      <c r="C12" s="7" t="str">
        <f>C2&amp;"*"&amp;C3&amp;"*COS(pi/9)/2*SIN(t)-"&amp;C2&amp;"*"&amp;C3&amp;"*COS(pi/9)/2*t*COS(t)"</f>
        <v>4*20*COS(pi/9)/2*SIN(t)-4*20*COS(pi/9)/2*t*COS(t)</v>
      </c>
      <c r="D12" s="7" t="str">
        <f>"0"</f>
        <v>0</v>
      </c>
      <c r="E12" s="8"/>
    </row>
    <row r="13" spans="1:5">
      <c r="A13" s="9"/>
      <c r="B13" s="9" t="s">
        <v>23</v>
      </c>
      <c r="C13" s="9" t="str">
        <f>C2&amp;"*"&amp;C3&amp;"*COS(pi/9)/2*COS(t)+"&amp;C2&amp;"*"&amp;C3&amp;"*COS(pi/9)/2*t*SIN(t)"</f>
        <v>4*20*COS(pi/9)/2*COS(t)+4*20*COS(pi/9)/2*t*SIN(t)</v>
      </c>
      <c r="D13" s="9" t="str">
        <f>"pi/3"</f>
        <v>pi/3</v>
      </c>
      <c r="E13" s="10"/>
    </row>
    <row r="14" spans="1:5">
      <c r="A14" s="26" t="s">
        <v>11</v>
      </c>
      <c r="B14" s="26" t="s">
        <v>24</v>
      </c>
      <c r="C14" s="26" t="str">
        <f>C2&amp;"*("&amp;C3&amp;"+"&amp;D3&amp;")/2"</f>
        <v>4*(20+10)/2</v>
      </c>
      <c r="D14" s="26"/>
      <c r="E14" s="27"/>
    </row>
    <row r="15" spans="1:5">
      <c r="A15" s="28" t="s">
        <v>12</v>
      </c>
      <c r="B15" s="28" t="s">
        <v>25</v>
      </c>
      <c r="C15" s="28" t="str">
        <f>"360/"&amp;C3&amp;"/4"</f>
        <v>360/20/4</v>
      </c>
      <c r="D15" s="28"/>
      <c r="E15" s="29"/>
    </row>
    <row r="16" spans="1:5">
      <c r="A16" s="30" t="s">
        <v>13</v>
      </c>
      <c r="B16" s="30" t="s">
        <v>26</v>
      </c>
      <c r="C16" s="30" t="str">
        <f>"360/"&amp;C3&amp;"/4*3"</f>
        <v>360/20/4*3</v>
      </c>
      <c r="D16" s="30"/>
      <c r="E16" s="31"/>
    </row>
    <row r="17" spans="1:5">
      <c r="A17" s="34" t="s">
        <v>32</v>
      </c>
      <c r="B17" s="34"/>
      <c r="C17" s="34"/>
      <c r="D17" s="34"/>
      <c r="E17" s="34"/>
    </row>
    <row r="18" spans="1:5">
      <c r="A18" s="34"/>
      <c r="B18" s="34"/>
      <c r="C18" s="34"/>
      <c r="D18" s="34"/>
      <c r="E18" s="34"/>
    </row>
    <row r="19" spans="1:5">
      <c r="A19" s="34"/>
      <c r="B19" s="34"/>
      <c r="C19" s="34"/>
      <c r="D19" s="34"/>
      <c r="E19" s="34"/>
    </row>
    <row r="20" spans="1:5">
      <c r="A20" s="34"/>
      <c r="B20" s="34"/>
      <c r="C20" s="34"/>
      <c r="D20" s="34"/>
      <c r="E20" s="34"/>
    </row>
    <row r="21" spans="1:5">
      <c r="A21" s="34"/>
      <c r="B21" s="34"/>
      <c r="C21" s="34"/>
      <c r="D21" s="34"/>
      <c r="E21" s="34"/>
    </row>
    <row r="22" spans="1:5">
      <c r="A22" s="34"/>
      <c r="B22" s="34"/>
      <c r="C22" s="34"/>
      <c r="D22" s="34"/>
      <c r="E22" s="34"/>
    </row>
  </sheetData>
  <sheetProtection password="CC7D" sheet="1" objects="1" scenarios="1"/>
  <protectedRanges>
    <protectedRange sqref="C2 C3 D3" name="区域1"/>
  </protectedRanges>
  <mergeCells count="2">
    <mergeCell ref="A1:E1"/>
    <mergeCell ref="A17:E22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2022-11-21T10:59:57Z</dcterms:modified>
</cp:coreProperties>
</file>